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Допущения" sheetId="1" r:id="rId5"/>
    <sheet name="TCO" sheetId="2" r:id="rId6"/>
    <sheet name="Сравнение и ROI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<sst xmlns="http://schemas.openxmlformats.org/spreadsheetml/2006/main" uniqueCount="61">
  <si>
    <t>Допущения модели TCO (все цены — вне источников: рыночные оценки РФ, 2026)</t>
  </si>
  <si>
    <t>Общие</t>
  </si>
  <si>
    <t>Количество магазинов</t>
  </si>
  <si>
    <t>шт</t>
  </si>
  <si>
    <t>Страховые взносы работодателя</t>
  </si>
  <si>
    <t>доля</t>
  </si>
  <si>
    <t>AS-IS (on-premise)</t>
  </si>
  <si>
    <t>Стоимость локального сервера</t>
  </si>
  <si>
    <t>руб/шт</t>
  </si>
  <si>
    <t>Доля парка серверов, заменяемая в год</t>
  </si>
  <si>
    <t>доля/год</t>
  </si>
  <si>
    <t>Лицензии Windows Server + MS SQL (сопровождение)</t>
  </si>
  <si>
    <t>руб/маг/год</t>
  </si>
  <si>
    <t>Зарплата выездного ИТ-инженера (gross)</t>
  </si>
  <si>
    <t>руб/мес</t>
  </si>
  <si>
    <t>Норматив: магазинов на 1 выездного инженера</t>
  </si>
  <si>
    <t>Командировочные/транспорт на инженера</t>
  </si>
  <si>
    <t>руб/год</t>
  </si>
  <si>
    <t>Интернет-канал магазина</t>
  </si>
  <si>
    <t>Электропитание сервера</t>
  </si>
  <si>
    <t>Аварийные замены (диски и пр.)</t>
  </si>
  <si>
    <t>TO-BE (Cloud POS)</t>
  </si>
  <si>
    <t>Edge мини-ПК (Local Edge Node)</t>
  </si>
  <si>
    <t>Планшет кассира</t>
  </si>
  <si>
    <t>SaaS кассовое ПО</t>
  </si>
  <si>
    <t>руб/маг/мес</t>
  </si>
  <si>
    <t>Облачный бэкенд (Managed PG + compute), вся сеть</t>
  </si>
  <si>
    <t>Зарплата DevOps-инженера (gross), 1 чел</t>
  </si>
  <si>
    <t>Зарплата инженера поддержки (gross), 1 чел</t>
  </si>
  <si>
    <t>Интернет основной + LTE-резерв</t>
  </si>
  <si>
    <t>Замена/ремонт edge-оборудования (с года 2)</t>
  </si>
  <si>
    <t>доля CapEx/год</t>
  </si>
  <si>
    <t>Электропитание edge-узла (мини-ПК + планшет)</t>
  </si>
  <si>
    <t>Расчёт TCO на 100 магазинов, руб.</t>
  </si>
  <si>
    <t>Статья затрат</t>
  </si>
  <si>
    <t>AS-IS Год 1</t>
  </si>
  <si>
    <t>AS-IS Год 2</t>
  </si>
  <si>
    <t>AS-IS Год 3</t>
  </si>
  <si>
    <t>TO-BE Год 1</t>
  </si>
  <si>
    <t>TO-BE Год 2</t>
  </si>
  <si>
    <t>TO-BE Год 3</t>
  </si>
  <si>
    <t>Оборудование (CapEx)</t>
  </si>
  <si>
    <t>Лицензии / подписки (OpEx)</t>
  </si>
  <si>
    <t>Облачная инфраструктура (OpEx)</t>
  </si>
  <si>
    <t>ФОТ поддержки (с взносами)</t>
  </si>
  <si>
    <t>Каналы связи</t>
  </si>
  <si>
    <t>Прочее (электропитание, аварийные замены)</t>
  </si>
  <si>
    <t>ИТОГО за год</t>
  </si>
  <si>
    <t>ИТОГО за 3 года</t>
  </si>
  <si>
    <t>Сравнение сценариев и точка окупаемости</t>
  </si>
  <si>
    <t>TCO AS-IS за 3 года, руб</t>
  </si>
  <si>
    <t>TCO TO-BE за 3 года, руб</t>
  </si>
  <si>
    <t>Экономия за 3 года, руб</t>
  </si>
  <si>
    <t>Экономия за 3 года, %</t>
  </si>
  <si>
    <t>Годовые затраты AS-IS (run-rate), руб</t>
  </si>
  <si>
    <t>Годовые затраты TO-BE с года 2 (run-rate), руб</t>
  </si>
  <si>
    <t>Снижение годовых затрат (run-rate), %</t>
  </si>
  <si>
    <t>Разовый CapEx TO-BE (год 1), руб</t>
  </si>
  <si>
    <t>Экономия OpEx в месяц, руб</t>
  </si>
  <si>
    <t>Break-even, месяцев</t>
  </si>
  <si>
    <t>Break-even учитывает только стоимость владения (без затрат на внедрение и миграцию — вне scope по условию).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</si>
</sst>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%"/>
    <numFmt numFmtId="60" formatCode="0.0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Arial"/>
    </font>
    <font>
      <sz val="11"/>
      <color indexed="12"/>
      <name val="Arial"/>
    </font>
    <font>
      <sz val="11"/>
      <color indexed="9"/>
      <name val="Arial"/>
    </font>
    <font>
      <sz val="11"/>
      <color indexed="16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4"/>
      </right>
      <top style="thin">
        <color indexed="14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3" fillId="3" borderId="3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3" fontId="4" fillId="4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bottom"/>
    </xf>
    <xf numFmtId="9" fontId="4" fillId="4" borderId="6" applyNumberFormat="1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0" fillId="2" borderId="10" applyNumberFormat="1" applyFont="1" applyFill="1" applyBorder="1" applyAlignment="1" applyProtection="0">
      <alignment vertical="bottom"/>
    </xf>
    <xf numFmtId="3" fontId="4" fillId="4" borderId="1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49" fontId="5" fillId="5" borderId="13" applyNumberFormat="1" applyFont="1" applyFill="1" applyBorder="1" applyAlignment="1" applyProtection="0">
      <alignment horizontal="center" vertical="bottom"/>
    </xf>
    <xf numFmtId="49" fontId="3" fillId="2" borderId="13" applyNumberFormat="1" applyFont="1" applyFill="1" applyBorder="1" applyAlignment="1" applyProtection="0">
      <alignment vertical="bottom"/>
    </xf>
    <xf numFmtId="3" fontId="6" fillId="2" borderId="13" applyNumberFormat="1" applyFont="1" applyFill="1" applyBorder="1" applyAlignment="1" applyProtection="0">
      <alignment vertical="bottom"/>
    </xf>
    <xf numFmtId="3" fontId="4" fillId="2" borderId="13" applyNumberFormat="1" applyFont="1" applyFill="1" applyBorder="1" applyAlignment="1" applyProtection="0">
      <alignment vertical="bottom"/>
    </xf>
    <xf numFmtId="49" fontId="3" fillId="3" borderId="14" applyNumberFormat="1" applyFont="1" applyFill="1" applyBorder="1" applyAlignment="1" applyProtection="0">
      <alignment vertical="bottom"/>
    </xf>
    <xf numFmtId="3" fontId="3" fillId="3" borderId="13" applyNumberFormat="1" applyFont="1" applyFill="1" applyBorder="1" applyAlignment="1" applyProtection="0">
      <alignment vertical="bottom"/>
    </xf>
    <xf numFmtId="49" fontId="3" fillId="2" borderId="15" applyNumberFormat="1" applyFont="1" applyFill="1" applyBorder="1" applyAlignment="1" applyProtection="0">
      <alignment vertical="bottom"/>
    </xf>
    <xf numFmtId="3" fontId="3" fillId="2" borderId="16" applyNumberFormat="1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3" fontId="6" fillId="2" borderId="1" applyNumberFormat="1" applyFont="1" applyFill="1" applyBorder="1" applyAlignment="1" applyProtection="0">
      <alignment vertical="bottom"/>
    </xf>
    <xf numFmtId="3" fontId="3" fillId="2" borderId="1" applyNumberFormat="1" applyFont="1" applyFill="1" applyBorder="1" applyAlignment="1" applyProtection="0">
      <alignment vertical="bottom"/>
    </xf>
    <xf numFmtId="59" fontId="3" fillId="2" borderId="1" applyNumberFormat="1" applyFont="1" applyFill="1" applyBorder="1" applyAlignment="1" applyProtection="0">
      <alignment vertical="bottom"/>
    </xf>
    <xf numFmtId="60" fontId="3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e7e6e6"/>
      <rgbColor rgb="ff0000ff"/>
      <rgbColor rgb="ffffff00"/>
      <rgbColor rgb="ff999999"/>
      <rgbColor rgb="ff4472c4"/>
      <rgbColor rgb="ff008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25"/>
  <sheetViews>
    <sheetView workbookViewId="0" showGridLines="0" defaultGridColor="1"/>
  </sheetViews>
  <sheetFormatPr defaultColWidth="8.66667" defaultRowHeight="15" customHeight="1" outlineLevelRow="0" outlineLevelCol="0"/>
  <cols>
    <col min="1" max="1" width="48" style="1" customWidth="1"/>
    <col min="2" max="2" width="12" style="1" customWidth="1"/>
    <col min="3" max="3" width="14" style="1" customWidth="1"/>
    <col min="4" max="4" width="8.67188" style="1" customWidth="1"/>
    <col min="5" max="16384" width="8.67188" style="1" customWidth="1"/>
  </cols>
  <sheetData>
    <row r="1" ht="15" customHeight="1">
      <c r="A1" t="s" s="2">
        <v>0</v>
      </c>
      <c r="B1" s="3"/>
      <c r="C1" s="3"/>
      <c r="D1" s="4"/>
    </row>
    <row r="2" ht="13.55" customHeight="1">
      <c r="A2" s="5"/>
      <c r="B2" s="3"/>
      <c r="C2" s="3"/>
      <c r="D2" s="4"/>
    </row>
    <row r="3" ht="15" customHeight="1">
      <c r="A3" t="s" s="6">
        <v>1</v>
      </c>
      <c r="B3" s="7"/>
      <c r="C3" s="3"/>
      <c r="D3" s="4"/>
    </row>
    <row r="4" ht="15" customHeight="1">
      <c r="A4" t="s" s="8">
        <v>2</v>
      </c>
      <c r="B4" s="9">
        <v>100</v>
      </c>
      <c r="C4" t="s" s="10">
        <v>3</v>
      </c>
      <c r="D4" s="4"/>
    </row>
    <row r="5" ht="15" customHeight="1">
      <c r="A5" t="s" s="11">
        <v>4</v>
      </c>
      <c r="B5" s="12">
        <v>0.3</v>
      </c>
      <c r="C5" t="s" s="10">
        <v>5</v>
      </c>
      <c r="D5" s="4"/>
    </row>
    <row r="6" ht="15" customHeight="1">
      <c r="A6" t="s" s="6">
        <v>6</v>
      </c>
      <c r="B6" s="13"/>
      <c r="C6" s="3"/>
      <c r="D6" s="4"/>
    </row>
    <row r="7" ht="15" customHeight="1">
      <c r="A7" t="s" s="8">
        <v>7</v>
      </c>
      <c r="B7" s="9">
        <v>90000</v>
      </c>
      <c r="C7" t="s" s="10">
        <v>8</v>
      </c>
      <c r="D7" s="4"/>
    </row>
    <row r="8" ht="15" customHeight="1">
      <c r="A8" t="s" s="14">
        <v>9</v>
      </c>
      <c r="B8" s="12">
        <v>0.25</v>
      </c>
      <c r="C8" t="s" s="10">
        <v>10</v>
      </c>
      <c r="D8" s="4"/>
    </row>
    <row r="9" ht="15" customHeight="1">
      <c r="A9" t="s" s="14">
        <v>11</v>
      </c>
      <c r="B9" s="9">
        <v>45000</v>
      </c>
      <c r="C9" t="s" s="10">
        <v>12</v>
      </c>
      <c r="D9" s="4"/>
    </row>
    <row r="10" ht="15" customHeight="1">
      <c r="A10" t="s" s="14">
        <v>13</v>
      </c>
      <c r="B10" s="9">
        <v>90000</v>
      </c>
      <c r="C10" t="s" s="10">
        <v>14</v>
      </c>
      <c r="D10" s="4"/>
    </row>
    <row r="11" ht="15" customHeight="1">
      <c r="A11" t="s" s="14">
        <v>15</v>
      </c>
      <c r="B11" s="9">
        <v>15</v>
      </c>
      <c r="C11" t="s" s="10">
        <v>3</v>
      </c>
      <c r="D11" s="4"/>
    </row>
    <row r="12" ht="15" customHeight="1">
      <c r="A12" t="s" s="14">
        <v>16</v>
      </c>
      <c r="B12" s="9">
        <v>150000</v>
      </c>
      <c r="C12" t="s" s="10">
        <v>17</v>
      </c>
      <c r="D12" s="4"/>
    </row>
    <row r="13" ht="15" customHeight="1">
      <c r="A13" t="s" s="14">
        <v>18</v>
      </c>
      <c r="B13" s="9">
        <v>3000</v>
      </c>
      <c r="C13" t="s" s="10">
        <v>14</v>
      </c>
      <c r="D13" s="4"/>
    </row>
    <row r="14" ht="15" customHeight="1">
      <c r="A14" t="s" s="14">
        <v>19</v>
      </c>
      <c r="B14" s="9">
        <v>9000</v>
      </c>
      <c r="C14" t="s" s="10">
        <v>12</v>
      </c>
      <c r="D14" s="4"/>
    </row>
    <row r="15" ht="15" customHeight="1">
      <c r="A15" t="s" s="11">
        <v>20</v>
      </c>
      <c r="B15" s="9">
        <v>6000</v>
      </c>
      <c r="C15" t="s" s="10">
        <v>12</v>
      </c>
      <c r="D15" s="4"/>
    </row>
    <row r="16" ht="15" customHeight="1">
      <c r="A16" t="s" s="6">
        <v>21</v>
      </c>
      <c r="B16" s="13"/>
      <c r="C16" s="3"/>
      <c r="D16" s="4"/>
    </row>
    <row r="17" ht="15" customHeight="1">
      <c r="A17" t="s" s="8">
        <v>22</v>
      </c>
      <c r="B17" s="9">
        <v>45000</v>
      </c>
      <c r="C17" t="s" s="10">
        <v>8</v>
      </c>
      <c r="D17" s="4"/>
    </row>
    <row r="18" ht="15" customHeight="1">
      <c r="A18" t="s" s="14">
        <v>23</v>
      </c>
      <c r="B18" s="9">
        <v>25000</v>
      </c>
      <c r="C18" t="s" s="10">
        <v>8</v>
      </c>
      <c r="D18" s="4"/>
    </row>
    <row r="19" ht="15" customHeight="1">
      <c r="A19" t="s" s="14">
        <v>24</v>
      </c>
      <c r="B19" s="9">
        <v>2500</v>
      </c>
      <c r="C19" t="s" s="10">
        <v>25</v>
      </c>
      <c r="D19" s="4"/>
    </row>
    <row r="20" ht="15" customHeight="1">
      <c r="A20" t="s" s="14">
        <v>26</v>
      </c>
      <c r="B20" s="9">
        <v>200000</v>
      </c>
      <c r="C20" t="s" s="10">
        <v>14</v>
      </c>
      <c r="D20" s="4"/>
    </row>
    <row r="21" ht="15" customHeight="1">
      <c r="A21" t="s" s="14">
        <v>27</v>
      </c>
      <c r="B21" s="9">
        <v>200000</v>
      </c>
      <c r="C21" t="s" s="10">
        <v>14</v>
      </c>
      <c r="D21" s="4"/>
    </row>
    <row r="22" ht="15" customHeight="1">
      <c r="A22" t="s" s="14">
        <v>28</v>
      </c>
      <c r="B22" s="9">
        <v>120000</v>
      </c>
      <c r="C22" t="s" s="10">
        <v>14</v>
      </c>
      <c r="D22" s="4"/>
    </row>
    <row r="23" ht="15" customHeight="1">
      <c r="A23" t="s" s="14">
        <v>29</v>
      </c>
      <c r="B23" s="9">
        <v>3800</v>
      </c>
      <c r="C23" t="s" s="10">
        <v>25</v>
      </c>
      <c r="D23" s="4"/>
    </row>
    <row r="24" ht="15" customHeight="1">
      <c r="A24" t="s" s="14">
        <v>30</v>
      </c>
      <c r="B24" s="12">
        <v>0.05</v>
      </c>
      <c r="C24" t="s" s="10">
        <v>31</v>
      </c>
      <c r="D24" s="4"/>
    </row>
    <row r="25" ht="14.6" customHeight="1">
      <c r="A25" t="s" s="14">
        <v>32</v>
      </c>
      <c r="B25" s="15">
        <v>1200</v>
      </c>
      <c r="C25" t="s" s="10">
        <v>12</v>
      </c>
      <c r="D25" s="4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G11"/>
  <sheetViews>
    <sheetView workbookViewId="0" showGridLines="0" defaultGridColor="1"/>
  </sheetViews>
  <sheetFormatPr defaultColWidth="8.66667" defaultRowHeight="15" customHeight="1" outlineLevelRow="0" outlineLevelCol="0"/>
  <cols>
    <col min="1" max="1" width="44" style="16" customWidth="1"/>
    <col min="2" max="7" width="15" style="16" customWidth="1"/>
    <col min="8" max="16384" width="8.67188" style="16" customWidth="1"/>
  </cols>
  <sheetData>
    <row r="1" ht="15" customHeight="1">
      <c r="A1" t="s" s="2">
        <v>33</v>
      </c>
      <c r="B1" s="3"/>
      <c r="C1" s="3"/>
      <c r="D1" s="3"/>
      <c r="E1" s="3"/>
      <c r="F1" s="3"/>
      <c r="G1" s="3"/>
    </row>
    <row r="2" ht="13.55" customHeight="1">
      <c r="A2" s="17"/>
      <c r="B2" s="17"/>
      <c r="C2" s="17"/>
      <c r="D2" s="17"/>
      <c r="E2" s="17"/>
      <c r="F2" s="17"/>
      <c r="G2" s="17"/>
    </row>
    <row r="3" ht="15" customHeight="1">
      <c r="A3" t="s" s="18">
        <v>34</v>
      </c>
      <c r="B3" t="s" s="18">
        <v>35</v>
      </c>
      <c r="C3" t="s" s="18">
        <v>36</v>
      </c>
      <c r="D3" t="s" s="18">
        <v>37</v>
      </c>
      <c r="E3" t="s" s="18">
        <v>38</v>
      </c>
      <c r="F3" t="s" s="18">
        <v>39</v>
      </c>
      <c r="G3" t="s" s="18">
        <v>40</v>
      </c>
    </row>
    <row r="4" ht="15" customHeight="1">
      <c r="A4" t="s" s="19">
        <v>41</v>
      </c>
      <c r="B4" s="20" cm="1">
        <f t="array" ref="B4">'Допущения'!$B$4*'Допущения'!$B$8*'Допущения'!$B$7</f>
        <v>2250000</v>
      </c>
      <c r="C4" s="20" cm="1">
        <f t="array" ref="C4">'Допущения'!$B$4*'Допущения'!$B$8*'Допущения'!$B$7</f>
        <v>2250000</v>
      </c>
      <c r="D4" s="20" cm="1">
        <f t="array" ref="D4">'Допущения'!$B$4*'Допущения'!$B$8*'Допущения'!$B$7</f>
        <v>2250000</v>
      </c>
      <c r="E4" s="20" cm="1">
        <f t="array" ref="E4">'Допущения'!$B$4*('Допущения'!$B$17+'Допущения'!$B$18)</f>
        <v>7000000</v>
      </c>
      <c r="F4" s="21">
        <v>0</v>
      </c>
      <c r="G4" s="21">
        <v>0</v>
      </c>
    </row>
    <row r="5" ht="15" customHeight="1">
      <c r="A5" t="s" s="19">
        <v>42</v>
      </c>
      <c r="B5" s="20" cm="1">
        <f t="array" ref="B5">'Допущения'!$B$4*'Допущения'!$B$9</f>
        <v>4500000</v>
      </c>
      <c r="C5" s="20" cm="1">
        <f t="array" ref="C5">'Допущения'!$B$4*'Допущения'!$B$9</f>
        <v>4500000</v>
      </c>
      <c r="D5" s="20" cm="1">
        <f t="array" ref="D5">'Допущения'!$B$4*'Допущения'!$B$9</f>
        <v>4500000</v>
      </c>
      <c r="E5" s="20" cm="1">
        <f t="array" ref="E5">'Допущения'!$B$4*'Допущения'!$B$19*12</f>
        <v>3000000</v>
      </c>
      <c r="F5" s="20" cm="1">
        <f t="array" ref="F5">'Допущения'!$B$4*'Допущения'!$B$19*12</f>
        <v>3000000</v>
      </c>
      <c r="G5" s="20" cm="1">
        <f t="array" ref="G5">'Допущения'!$B$4*'Допущения'!$B$19*12</f>
        <v>3000000</v>
      </c>
    </row>
    <row r="6" ht="15" customHeight="1">
      <c r="A6" t="s" s="19">
        <v>43</v>
      </c>
      <c r="B6" s="21">
        <v>0</v>
      </c>
      <c r="C6" s="21">
        <v>0</v>
      </c>
      <c r="D6" s="21">
        <v>0</v>
      </c>
      <c r="E6" s="20" cm="1">
        <f t="array" ref="E6">'Допущения'!$B$20*12</f>
        <v>2400000</v>
      </c>
      <c r="F6" s="20" cm="1">
        <f t="array" ref="F6">'Допущения'!$B$20*12</f>
        <v>2400000</v>
      </c>
      <c r="G6" s="20" cm="1">
        <f t="array" ref="G6">'Допущения'!$B$20*12</f>
        <v>2400000</v>
      </c>
    </row>
    <row r="7" ht="15" customHeight="1">
      <c r="A7" t="s" s="19">
        <v>44</v>
      </c>
      <c r="B7" s="20" cm="1">
        <f t="array" ref="B7">ROUNDUP('Допущения'!$B$4/'Допущения'!$B$11,0)*('Допущения'!$B$10*12*(1+'Допущения'!$B$5)+'Допущения'!$B$12)</f>
        <v>10878000</v>
      </c>
      <c r="C7" s="20" cm="1">
        <f t="array" ref="C7">ROUNDUP('Допущения'!$B$4/'Допущения'!$B$11,0)*('Допущения'!$B$10*12*(1+'Допущения'!$B$5)+'Допущения'!$B$12)</f>
        <v>10878000</v>
      </c>
      <c r="D7" s="20" cm="1">
        <f t="array" ref="D7">ROUNDUP('Допущения'!$B$4/'Допущения'!$B$11,0)*('Допущения'!$B$10*12*(1+'Допущения'!$B$5)+'Допущения'!$B$12)</f>
        <v>10878000</v>
      </c>
      <c r="E7" s="20" cm="1">
        <f t="array" ref="E7">('Допущения'!$B$21+'Допущения'!$B$22)*12*(1+'Допущения'!$B$5)</f>
        <v>4992000</v>
      </c>
      <c r="F7" s="20" cm="1">
        <f t="array" ref="F7">('Допущения'!$B$21+'Допущения'!$B$22)*12*(1+'Допущения'!$B$5)</f>
        <v>4992000</v>
      </c>
      <c r="G7" s="20" cm="1">
        <f t="array" ref="G7">('Допущения'!$B$21+'Допущения'!$B$22)*12*(1+'Допущения'!$B$5)</f>
        <v>4992000</v>
      </c>
    </row>
    <row r="8" ht="15" customHeight="1">
      <c r="A8" t="s" s="19">
        <v>45</v>
      </c>
      <c r="B8" s="20" cm="1">
        <f t="array" ref="B8">'Допущения'!$B$4*'Допущения'!$B$13*12</f>
        <v>3600000</v>
      </c>
      <c r="C8" s="20" cm="1">
        <f t="array" ref="C8">'Допущения'!$B$4*'Допущения'!$B$13*12</f>
        <v>3600000</v>
      </c>
      <c r="D8" s="20" cm="1">
        <f t="array" ref="D8">'Допущения'!$B$4*'Допущения'!$B$13*12</f>
        <v>3600000</v>
      </c>
      <c r="E8" s="20" cm="1">
        <f t="array" ref="E8">'Допущения'!$B$4*'Допущения'!$B$23*12</f>
        <v>4560000</v>
      </c>
      <c r="F8" s="20" cm="1">
        <f t="array" ref="F8">'Допущения'!$B$4*'Допущения'!$B$23*12</f>
        <v>4560000</v>
      </c>
      <c r="G8" s="20" cm="1">
        <f t="array" ref="G8">'Допущения'!$B$4*'Допущения'!$B$23*12</f>
        <v>4560000</v>
      </c>
    </row>
    <row r="9" ht="15" customHeight="1">
      <c r="A9" t="s" s="19">
        <v>46</v>
      </c>
      <c r="B9" s="20" cm="1">
        <f t="array" ref="B9">'Допущения'!$B$4*('Допущения'!$B$14+'Допущения'!$B$15)</f>
        <v>1500000</v>
      </c>
      <c r="C9" s="20" cm="1">
        <f t="array" ref="C9">'Допущения'!$B$4*('Допущения'!$B$14+'Допущения'!$B$15)</f>
        <v>1500000</v>
      </c>
      <c r="D9" s="20" cm="1">
        <f t="array" ref="D9">'Допущения'!$B$4*('Допущения'!$B$14+'Допущения'!$B$15)</f>
        <v>1500000</v>
      </c>
      <c r="E9" s="20" cm="1">
        <f t="array" ref="E9">'Допущения'!$B$4*'Допущения'!$B$25</f>
        <v>120000</v>
      </c>
      <c r="F9" s="20" cm="1">
        <f t="array" ref="F9">'Допущения'!$B$4*('Допущения'!$B$25+('Допущения'!$B$17+'Допущения'!$B$18)*'Допущения'!$B$24)</f>
        <v>470000</v>
      </c>
      <c r="G9" s="20" cm="1">
        <f t="array" ref="G9">'Допущения'!$B$4*('Допущения'!$B$25+('Допущения'!$B$17+'Допущения'!$B$18)*'Допущения'!$B$24)</f>
        <v>470000</v>
      </c>
    </row>
    <row r="10" ht="15" customHeight="1">
      <c r="A10" t="s" s="22">
        <v>47</v>
      </c>
      <c r="B10" s="23" cm="1">
        <f t="array" ref="B10">SUM(B4:B9)</f>
        <v>22728000</v>
      </c>
      <c r="C10" s="23" cm="1">
        <f t="array" ref="C10">SUM(C4:C9)</f>
        <v>22728000</v>
      </c>
      <c r="D10" s="23" cm="1">
        <f t="array" ref="D10">SUM(D4:D9)</f>
        <v>22728000</v>
      </c>
      <c r="E10" s="23" cm="1">
        <f t="array" ref="E10">SUM(E4:E9)</f>
        <v>22072000</v>
      </c>
      <c r="F10" s="23" cm="1">
        <f t="array" ref="F10">SUM(F4:F9)</f>
        <v>15422000</v>
      </c>
      <c r="G10" s="23" cm="1">
        <f t="array" ref="G10">SUM(G4:G9)</f>
        <v>15422000</v>
      </c>
    </row>
    <row r="11" ht="15" customHeight="1">
      <c r="A11" t="s" s="24">
        <v>48</v>
      </c>
      <c r="B11" s="25" cm="1">
        <f t="array" ref="B11">SUM(B10:D10)</f>
        <v>68184000</v>
      </c>
      <c r="C11" s="26"/>
      <c r="D11" s="26"/>
      <c r="E11" s="25" cm="1">
        <f t="array" ref="E11">SUM(E10:G10)</f>
        <v>52916000</v>
      </c>
      <c r="F11" s="26"/>
      <c r="G11" s="26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4"/>
  <sheetViews>
    <sheetView workbookViewId="0" showGridLines="0" defaultGridColor="1"/>
  </sheetViews>
  <sheetFormatPr defaultColWidth="8.66667" defaultRowHeight="15" customHeight="1" outlineLevelRow="0" outlineLevelCol="0"/>
  <cols>
    <col min="1" max="1" width="46" style="27" customWidth="1"/>
    <col min="2" max="2" width="18" style="27" customWidth="1"/>
    <col min="3" max="5" width="8.67188" style="27" customWidth="1"/>
    <col min="6" max="16384" width="8.67188" style="27" customWidth="1"/>
  </cols>
  <sheetData>
    <row r="1" ht="15" customHeight="1">
      <c r="A1" t="s" s="2">
        <v>49</v>
      </c>
      <c r="B1" s="3"/>
      <c r="C1" s="4"/>
      <c r="D1" s="4"/>
      <c r="E1" s="4"/>
    </row>
    <row r="2" ht="13.55" customHeight="1">
      <c r="A2" s="3"/>
      <c r="B2" s="3"/>
      <c r="C2" s="4"/>
      <c r="D2" s="4"/>
      <c r="E2" s="4"/>
    </row>
    <row r="3" ht="15" customHeight="1">
      <c r="A3" t="s" s="2">
        <v>50</v>
      </c>
      <c r="B3" s="28" cm="1">
        <f t="array" ref="B3">'TCO'!B11</f>
        <v>68184000</v>
      </c>
      <c r="C3" s="4"/>
      <c r="D3" s="4"/>
      <c r="E3" s="4"/>
    </row>
    <row r="4" ht="15" customHeight="1">
      <c r="A4" t="s" s="2">
        <v>51</v>
      </c>
      <c r="B4" s="28" cm="1">
        <f t="array" ref="B4">'TCO'!E11</f>
        <v>52916000</v>
      </c>
      <c r="C4" s="4"/>
      <c r="D4" s="4"/>
      <c r="E4" s="4"/>
    </row>
    <row r="5" ht="15" customHeight="1">
      <c r="A5" t="s" s="2">
        <v>52</v>
      </c>
      <c r="B5" s="29" cm="1">
        <f t="array" ref="B5">B3-B4</f>
        <v>15268000</v>
      </c>
      <c r="C5" s="4"/>
      <c r="D5" s="4"/>
      <c r="E5" s="4"/>
    </row>
    <row r="6" ht="15" customHeight="1">
      <c r="A6" t="s" s="2">
        <v>53</v>
      </c>
      <c r="B6" s="30" cm="1">
        <f t="array" ref="B6">B5/B3</f>
        <v>0.223923501114631</v>
      </c>
      <c r="C6" s="4"/>
      <c r="D6" s="4"/>
      <c r="E6" s="4"/>
    </row>
    <row r="7" ht="15" customHeight="1">
      <c r="A7" t="s" s="2">
        <v>54</v>
      </c>
      <c r="B7" s="28" cm="1">
        <f t="array" ref="B7">'TCO'!B10</f>
        <v>22728000</v>
      </c>
      <c r="C7" s="4"/>
      <c r="D7" s="4"/>
      <c r="E7" s="4"/>
    </row>
    <row r="8" ht="15" customHeight="1">
      <c r="A8" t="s" s="2">
        <v>55</v>
      </c>
      <c r="B8" s="28" cm="1">
        <f t="array" ref="B8">'TCO'!F10</f>
        <v>15422000</v>
      </c>
      <c r="C8" s="4"/>
      <c r="D8" s="4"/>
      <c r="E8" s="4"/>
    </row>
    <row r="9" ht="15" customHeight="1">
      <c r="A9" t="s" s="2">
        <v>56</v>
      </c>
      <c r="B9" s="30" cm="1">
        <f t="array" ref="B9">(B7-B8)/B7</f>
        <v>0.321453713481169</v>
      </c>
      <c r="C9" s="4"/>
      <c r="D9" s="4"/>
      <c r="E9" s="4"/>
    </row>
    <row r="10" ht="15" customHeight="1">
      <c r="A10" t="s" s="2">
        <v>57</v>
      </c>
      <c r="B10" s="28" cm="1">
        <f t="array" ref="B10">'TCO'!E4</f>
        <v>7000000</v>
      </c>
      <c r="C10" s="4"/>
      <c r="D10" s="4"/>
      <c r="E10" s="4"/>
    </row>
    <row r="11" ht="15" customHeight="1">
      <c r="A11" t="s" s="2">
        <v>58</v>
      </c>
      <c r="B11" s="29" cm="1">
        <f t="array" ref="B11">(B7-B8)/12</f>
        <v>608833.333333333</v>
      </c>
      <c r="C11" s="4"/>
      <c r="D11" s="4"/>
      <c r="E11" s="4"/>
    </row>
    <row r="12" ht="15" customHeight="1">
      <c r="A12" t="s" s="2">
        <v>59</v>
      </c>
      <c r="B12" s="31" cm="1">
        <f t="array" ref="B12">B10/B11</f>
        <v>11.4973993977553</v>
      </c>
      <c r="C12" s="4"/>
      <c r="D12" s="4"/>
      <c r="E12" s="4"/>
    </row>
    <row r="13" ht="13.55" customHeight="1">
      <c r="A13" s="3"/>
      <c r="B13" s="3"/>
      <c r="C13" s="4"/>
      <c r="D13" s="4"/>
      <c r="E13" s="4"/>
    </row>
    <row r="14" ht="15" customHeight="1">
      <c r="A14" t="s" s="2">
        <v>60</v>
      </c>
      <c r="B14" s="3"/>
      <c r="C14" s="4"/>
      <c r="D14" s="4"/>
      <c r="E14" s="4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